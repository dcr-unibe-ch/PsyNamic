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wsl.localhost\Ubuntu\home\veral\PsyNamic\"/>
    </mc:Choice>
  </mc:AlternateContent>
  <xr:revisionPtr revIDLastSave="0" documentId="13_ncr:1_{A0503650-4759-447A-BBCB-0628C3B31AFC}" xr6:coauthVersionLast="47" xr6:coauthVersionMax="47" xr10:uidLastSave="{00000000-0000-0000-0000-000000000000}"/>
  <bookViews>
    <workbookView xWindow="-57720" yWindow="-120" windowWidth="29040" windowHeight="17520" activeTab="6" xr2:uid="{97F54892-32CE-494E-B083-75E1EAFF98EF}"/>
  </bookViews>
  <sheets>
    <sheet name="Embase" sheetId="1" r:id="rId1"/>
    <sheet name="Medline PubMed" sheetId="2" r:id="rId2"/>
    <sheet name="Cochrane" sheetId="3" r:id="rId3"/>
    <sheet name="PsycInfo" sheetId="4" r:id="rId4"/>
    <sheet name="WebOfScience" sheetId="7" r:id="rId5"/>
    <sheet name="Scopus" sheetId="8" r:id="rId6"/>
    <sheet name="Total" sheetId="9" r:id="rId7"/>
  </sheets>
  <definedNames>
    <definedName name="ExterneDaten_1" localSheetId="0" hidden="1">Embase!$A$4:$C$9</definedName>
    <definedName name="ExterneDaten_1" localSheetId="1" hidden="1">'Medline PubMed'!#REF!</definedName>
    <definedName name="ExterneDaten_1" localSheetId="5" hidden="1">Scopus!$A$4:$C$9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6" i="9" l="1"/>
  <c r="C8" i="9"/>
  <c r="C5" i="9"/>
  <c r="C7" i="9"/>
  <c r="C4" i="9"/>
  <c r="C3" i="9"/>
  <c r="C2" i="9"/>
  <c r="B3" i="9"/>
  <c r="B2" i="9"/>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0DE6D48-CFE9-463C-B955-45A12A28BDDB}" keepAlive="1" name="Abfrage - PubMedSearchHistory" description="Verbindung mit der Abfrage 'PubMedSearchHistory' in der Arbeitsmappe." type="5" refreshedVersion="0" background="1" saveData="1">
    <dbPr connection="Provider=Microsoft.Mashup.OleDb.1;Data Source=$Workbook$;Location=PubMedSearchHistory;Extended Properties=&quot;&quot;" command="SELECT * FROM [PubMedSearchHistory]"/>
  </connection>
  <connection id="2" xr16:uid="{5EA94816-09D3-4348-BE77-97E402765A0B}" keepAlive="1" name="Abfrage - queries" description="Verbindung mit der Abfrage 'queries' in der Arbeitsmappe." type="5" refreshedVersion="0" background="1" saveData="1">
    <dbPr connection="Provider=Microsoft.Mashup.OleDb.1;Data Source=$Workbook$;Location=queries;Extended Properties=&quot;&quot;" command="SELECT * FROM [queries]"/>
  </connection>
  <connection id="3" xr16:uid="{5B01171C-622F-46D3-8788-99A094E6C67F}" keepAlive="1" name="Abfrage - queries (2)" description="Verbindung mit der Abfrage 'queries (2)' in der Arbeitsmappe." type="5" refreshedVersion="8" background="1" saveData="1">
    <dbPr connection="Provider=Microsoft.Mashup.OleDb.1;Data Source=$Workbook$;Location=&quot;queries (2)&quot;;Extended Properties=&quot;&quot;" command="SELECT * FROM [queries (2)]"/>
  </connection>
  <connection id="4" xr16:uid="{3E7B360B-BCEB-437D-A44F-4DCAFF45B9DD}" keepAlive="1" name="Abfrage - queries (3)" description="Verbindung mit der Abfrage 'queries (3)' in der Arbeitsmappe." type="5" refreshedVersion="8" background="1" saveData="1">
    <dbPr connection="Provider=Microsoft.Mashup.OleDb.1;Data Source=$Workbook$;Location=&quot;queries (3)&quot;;Extended Properties=&quot;&quot;" command="SELECT * FROM [queries (3)]"/>
  </connection>
  <connection id="5" xr16:uid="{8CB65182-8740-4C42-ACB2-BC392FA53DAC}" keepAlive="1" name="Abfrage - queries (4)" description="Verbindung mit der Abfrage 'queries (4)' in der Arbeitsmappe." type="5" refreshedVersion="8" background="1" saveData="1">
    <dbPr connection="Provider=Microsoft.Mashup.OleDb.1;Data Source=$Workbook$;Location=&quot;queries (4)&quot;;Extended Properties=&quot;&quot;" command="SELECT * FROM [queries (4)]"/>
  </connection>
</connections>
</file>

<file path=xl/sharedStrings.xml><?xml version="1.0" encoding="utf-8"?>
<sst xmlns="http://schemas.openxmlformats.org/spreadsheetml/2006/main" count="101" uniqueCount="78">
  <si>
    <t>Embase via Elsevier</t>
  </si>
  <si>
    <t>15 December 2023</t>
  </si>
  <si>
    <t>No.</t>
  </si>
  <si>
    <t>Query</t>
  </si>
  <si>
    <t>Results</t>
  </si>
  <si>
    <t>#5</t>
  </si>
  <si>
    <t>#4 NOT ([conference abstract]/lim OR [preprint]/lim)</t>
  </si>
  <si>
    <t>#4</t>
  </si>
  <si>
    <t>#3 NOT (('animal'/de OR 'animal experiment'/exp OR 'nonhuman'/de) NOT ('human'/exp OR 'human experiment'/de))</t>
  </si>
  <si>
    <t>#3</t>
  </si>
  <si>
    <t>#1 AND #2</t>
  </si>
  <si>
    <t>#2</t>
  </si>
  <si>
    <t>'clinical study'/de OR 'clinical trial'/exp OR 'clinical trial (topic)'/exp OR 'clinical trial protocol'/de OR 'randomization'/de OR 'double blind procedure'/de OR 'single blind procedure'/de OR 'placebo'/de OR 'control group'/de OR 'crossover procedure'/de OR random*:ti,ab,kw,de OR sham:ti,ab,kw,de OR placebo*:ti,ab,kw,de OR (((singl* OR doubl*) NEAR/1 (blind* OR dumm* OR mask*)):ti,ab,kw,de) OR (((tripl* OR trebl*) NEAR/1 (blind* OR dumm* OR mask*)):ti,ab,kw,de) OR ((control* NEAR/3 (study OR studies OR trial* OR group*)):ti,ab,kw,de) OR ((clinical NEAR/3 (study OR studies OR trial*)):ti,ab,kw,de) OR nonrandom*:ti,ab,kw,de OR 'non random*':ti,ab,kw,de OR 'quasi random*':ti,ab,kw,de OR quasirandom*:ti,ab,kw,de OR ((phase NEAR/3 (study OR studies OR trial*)):ti,ab,kw,de) OR (((crossover OR 'cross over') NEAR/3 (study OR studies OR trial*)):ti,ab,kw,de) OR (((multicent* OR 'multi cent*') NEAR/3 (study OR studies OR trial*)):ti,ab,kw,de) OR allocated:ti,ab,de OR ((('open label' OR 'open label') NEAR/5 (study OR studies OR trial*)):ti,ab,kw,de) OR (((equivalence OR superiority OR 'non inferiority' OR noninferiority) NEAR/3 (study OR studies OR trial*)):ti,ab,kw,de) OR 'pragmatic study':ti,ab,kw,de OR 'pragmatic studies':ti,ab,kw,de OR (((pragmatic OR practical) NEAR/3 trial*):ti,ab,kw,de) OR (((quasiexperimental OR 'quasi experimental') NEAR/3 (study OR studies OR trial*)):ti,ab,kw,de) OR trial:ti,kw</t>
  </si>
  <si>
    <t>#1</t>
  </si>
  <si>
    <t>'psychedelic agent'/exp/mj NOT 'cannabinoid'/exp/mj OR (((hallucinogen* OR psychedel* OR psychomimet* OR entheo* OR entactogen*) NEAR/2 (agent* OR drug* OR compound* OR substance* OR therap* OR psychotherap* OR medic*)):ti,ab,kw) OR (lsd:ti,ab,kw AND (psychedel*:ti,ab,kw OR hallucinogen*:ti,ab,kw OR entheo*:ti,ab,kw OR trip*:ti,ab,kw)) OR 'lsd 25':ti,ab,kw OR 'lysergic acid diethylamide':ti,ab,kw OR delysid*:ti,ab,kw OR lysergide:ti,ab,kw OR lysergamide:ti,ab,kw OR psilocybin*:ti,ab,kw OR '4 po dmt':ti,ab,kw OR psilocibin*:ti,ab,kw OR comp360:ti,ab,kw OR 'cy 39':ti,ab,kw OR psilocin*:ti,ab,kw OR '4 ho dmt':ti,ab,kw OR '4 hydroxy n, n dimethyltryptamine':ti,ab,kw OR psilocyn*:ti,ab,kw OR mescalin*:ti,ab,kw OR '3,4,5 trimethoxyphenethylamine':ti,ab,kw OR tmpea:ti,ab,kw OR peyot*:ti,ab,kw OR (dmt:ti,ab,kw AND (psychedel*:ti,ab,kw OR hallucinogen*:ti,ab,kw OR entheo*:ti,ab,kw OR trip*:ti,ab,kw OR psychiat*:ti,ab,kw)) OR 'n,n dimethyltryptamine':ti,ab,kw OR dimethyltryptamine*:ti,ab,kw OR 'dimethyl tryptamine':ti,ab,kw OR 'n,n dmt':ti,ab,kw OR ayahuasca:ti,ab,kw OR banisteriopsis:ti,ab,kw OR '5 methoxy n,n dimethyltryptamine':ti,ab,kw OR mebufotenin:ti,ab,kw OR '5 meo dmt':ti,ab,kw OR 'o methyl bufotenin':ti,ab,kw OR '5 methoxy dmt':ti,ab,kw OR '5 methoxy n, n dimethyl tryptamine':ti,ab,kw OR '5 methoxydimethyltryptamine':ti,ab,kw OR 'n, n dimethyl 5 methoxytryptamine':ti,ab,kw OR methylenedioxymethamphetamine:ti,ab,kw OR '3,4-methylenedioxy methamphetamine':ti,ab,kw OR 'methamphetamine, 3, 4 methylenedioxy':ti,ab,kw OR 'n methyl 3, 4 methylenedioxyamphetamine':ti,ab,kw OR midomafetamine:ti,ab,kw OR mdma:ti,ab,kw OR ecstasy:ti,ab,kw OR ((ketamin*:ti,ab,kw OR esketamine:ti,ab,kw) AND (psychedel*:ti,ab,kw OR hallucinogen*:ti,ab,kw OR entheo*:ti,ab,kw OR trip*:ti,ab,kw OR psychiat*:ti,ab,kw)) OR ibogaine:ti,ab,kw OR iboga:ti,ab,kw OR salvinorin:ti,ab,kw OR 'salvia divinorum':ti,ab,kw</t>
  </si>
  <si>
    <t>PubMed (including Medline)</t>
  </si>
  <si>
    <t>Search number</t>
  </si>
  <si>
    <t>#4 NOT (preprint[Filter])</t>
  </si>
  <si>
    <t>#3 NOT (("Animals"[Mesh] OR "Animal Experimentation"[Mesh] OR "Models, Animal"[Mesh] OR "Vertebrates"[Mesh]) NOT ("Humans"[Mesh] OR "Human Experimentation"[Mesh]))</t>
  </si>
  <si>
    <t>Randomized Controlled Trial[Publication Type] OR Controlled Clinical Trial[Publication Type] OR Pragmatic Clinical Trial[Publication Type] OR Clinical Study[Publication Type] OR Adaptive Clinical Trial[Publication Type] OR Equivalence Trial[Publication Type] OR Clinical Trial[Publication Type] OR Clinical Trial, Phase I[Publication Type] OR Clinical Trial, Phase II[Publication Type] OR Clinical Trial, Phase III[Publication Type] OR Clinical Trial, Phase IV[Publication Type] OR Clinical Trial Protocol[Publication Type] OR multicenter study[Publication Type] OR "Clinical Studies as Topic"[Mesh] OR "Clinical Trials as Topic"[Mesh] OR "Clinical Trial Protocols as Topic"[Mesh] OR "Multicenter Studies as Topic"[Mesh] OR "Random Allocation"[Mesh] OR "Double-Blind Method"[Mesh] OR "Single-Blind Method"[Mesh] OR "Placebos"[Mesh:NoExp] OR "Control Groups"[Mesh] OR "Cross-Over Studies"[Mesh] OR random*[Title/Abstract] OR sham[Title/Abstract] OR placebo*[Title/Abstract] OR ((singl*[Title/Abstract] OR doubl*[Title/Abstract]) AND (blind*[Title/Abstract] OR dumm*[Title/Abstract] OR mask*[Title/Abstract])) OR ((tripl*[Title/Abstract] OR trebl*[Title/Abstract]) AND (blind*[Title/Abstract] OR dumm*[Title/Abstract] OR mask*[Title/Abstract])) OR "control study"[tiab:~3] OR "control studies"[tiab:~3] OR "control group"[tiab:~3] OR "control groups"[tiab:~3] OR "healthy volunteers"[tiab:~3] OR "control trial"[tiab:~3] OR "control trials"[tiab:~3] OR "controlled study"[tiab:~3] OR "controlled trial"[tiab:~3] OR "controlled studies"[tiab:~3] OR "controlled trials"[tiab:~3] OR "clinical study"[tiab:~3] OR "clinical studies"[tiab:~3] OR "clinical trial"[tiab:~3] OR "clinical trials"[tiab:~3] OR Nonrandom*[Title/Abstract] OR non random*[Title/Abstract] OR non-random*[Title/Abstract] OR quasi-random*[Title/Abstract] OR quasirandom*[Title/Abstract] OR "phase study"[tiab:~3] OR "phase studies"[tiab:~3] OR "phase trial"[tiab:~3] OR "phase trials"[tiab:~3] OR "crossover study"[tiab:~3] OR "crossover studies"[tiab:~3] OR "crossover trial"[tiab:~3] OR "crossover trials"[tiab:~3] OR "cross-over study"[tiab:~3] OR "cross-over studies"[tiab:~3] OR "cross-over trial"[tiab:~3] OR "cross-over trials"[tiab:~3] OR ((multicent*[tiab] OR multi-cent*[tiab] OR open label[tiab] OR open-label[tiab] OR equivalence[tiab] OR superiority[tiab] OR non-inferiority[tiab] OR noninferiority[tiab] OR quasiexperimental[tiab] OR quasi-experimental[tiab]) AND (study[tiab] OR studies[tiab] OR trial*[tiab])) OR allocated[tiab] OR pragmatic study[tiab] OR pragmatic studies[tiab] OR pragmatic trial*[tiab] OR practical trial*[tiab]</t>
  </si>
  <si>
    <t>"Hallucinogens"[Majr] OR "Lysergic Acid Diethylamide"[Majr] OR "Psilocybin"[Majr] OR "psilocin" [Supplementary Concept] OR "Mescaline"[Majr] OR "N,N-Dimethyltryptamine"[Majr] OR "Banisteriopsis"[Majr] OR "N-Methyl-3,4-methylenedioxyamphetamine"[Majr] OR "3,4-Methylenedioxyamphetamine"[Majr] OR ("Ketamine"[Majr] AND ("Behavioral Symptoms"[MeSH] OR "Mental Disorders"[Mesh])) OR "Ibogaine"[Majr] OR "salvinorin a"[Supplementary Concept] OR ((hallucinogen*[tiab] OR psychedel*[tiab] OR psychomimet*[tiab] OR entheo*[tiab] OR entactogen*[tiab]) AND (agent*[tiab] OR drug*[tiab] OR compound*[tiab] OR substance*[tiab] OR therap*[tiab] OR psychotherap*[tiab] OR medic*[tiab])) OR (LSD[tiab] AND (psychedel*[tiab] OR hallucinogen*[tiab] OR entheo*[tiab] OR trip*[tiab] OR psychiat*[tiab])) OR LSD-25[tiab] OR "lysergic acid diethylamide"[tiab] OR delysid*[tiab] OR lysergide[tiab] OR lysergamide[tiab] OR Psilocybin*[tiab] OR Psilocibin*[tiab] OR comp360[tiab] OR Psilocin*[tiab] OR 4-HO-DMT[tiab] OR psilocyn*[tiab] OR mescalin*[tiab] OR 3,4,5-trimethoxyphenethylamine[tiab] OR TMPEA[tiab] OR Peyot*[tiab] OR (DMT[tiab] AND (psychedel*[tiab] OR hallucinogen*[tiab] OR entheo*[tiab] OR trip*[tiab] OR psychiat*[tiab])) OR N,N-Dimethyltryptamine[tiab] OR dimethyltryptamine*[tiab] OR "dimethyl tryptamine"[tiab] OR N,N-DMT[tiab] OR ayahuasca[tiab] OR banisteriopsis[tiab] OR 5-methoxy-N,N-dimethyltryptamine[tiab] OR methylbufotenin[tiab] OR 5-MeO-DMT[tiab] OR "5 methoxy dmt"[tiab] OR "5 methoxy n, n dimethyl tryptamine"[tiab] OR "5 methoxydimethyltryptamine"[tiab] OR "n, n dimethyl 5 methoxytryptamine"[tiab] OR Methylenedioxymethamphetamine[tiab] OR "3,4-Methylenedioxy methamphetamine"[tiab] OR "n methyl 3, 4 methylenedioxyamphetamine"[tiab] OR midomafetamine[tiab] OR MDMA[tiab] OR (ecstasy[tiab] AND drug*[tiab]) OR ((Ketamin*[tiab] OR esketamine[tiab]) AND (psychedel*[tiab] OR hallucinogen*[tiab] OR entheo*[tiab] OR trip*[tiab] OR psychiat*[tiab])) OR Ibogaine[tiab] OR iboga[tiab] OR salvinorin[tiab] OR "salvia divinorum"[tiab]</t>
  </si>
  <si>
    <t>Cochrane Trials (CENTRAL)</t>
  </si>
  <si>
    <t>ID</t>
  </si>
  <si>
    <t>Search</t>
  </si>
  <si>
    <t>Hits</t>
  </si>
  <si>
    <t>((hallucinogen* OR psychedel* OR psychomimet* OR entheo* OR entactogen*) NEAR/2 (agent* OR drug* OR compound* OR substance* OR therap* OR psychotherap* OR medic*)):ti,ab,kw</t>
  </si>
  <si>
    <t>((LSD AND (psychedel* OR hallucinogen* OR entheo* OR trip*)) OR LSD-25 OR "lysergic acid diethylamide" OR delysid* OR lysergide OR lysergamide):ti,ab,kw</t>
  </si>
  <si>
    <t>(Psilocybin* OR "4-PO-DMT" OR Psilocibin* OR comp360 OR "cy 39"):ti,ab,kw</t>
  </si>
  <si>
    <t>(Psilocin* OR "4-HO-DMT" OR "4 hydroxy n, n dimethyltryptamine" OR psilocyn*):ti,ab,kw</t>
  </si>
  <si>
    <t>(mescalin* OR "3,4,5-trimethoxyphenethylamine" OR TMPEA OR Peyot*):ti,ab,kw</t>
  </si>
  <si>
    <t>#6</t>
  </si>
  <si>
    <t xml:space="preserve">((DMT AND (psychedel* OR hallucinogen* OR entheo* OR trip* OR psychiat*)) OR "N,N-Dimethyltryptamine" OR dimethyltryptamine* OR "dimethyl tryptamine" OR "N,N-DMT" OR ayahuasca OR banisteriopsis):ti,ab,kw	</t>
  </si>
  <si>
    <t>#7</t>
  </si>
  <si>
    <t>("5-methoxy-N,N-dimethyltryptamine" OR mebufotenin OR "5-MeO-DMT" OR "O-methyl-bufotenin" OR "5 methoxy dmt" OR "5 methoxy n, n dimethyl tryptamine" OR "5 methoxydimethyltryptamine" OR "n, n dimethyl 5 methoxytryptamine"):ti,ab,kw</t>
  </si>
  <si>
    <t>#8</t>
  </si>
  <si>
    <t>(Methylenedioxymethamphetamine OR "3,4-Methylenedioxy methamphetamine" OR "methamphetamine, 3, 4 methylenedioxy" OR "n methyl 3, 4 methylenedioxyamphetamine" OR midomafetamine OR MDMA OR ecstasy):ti,ab,kw</t>
  </si>
  <si>
    <t>#9</t>
  </si>
  <si>
    <t>((Ketamin* OR esketamine) AND (psychedel* OR hallucinogen* OR entheo* OR trip* OR psychiat*)):ti,ab,kw</t>
  </si>
  <si>
    <t>#10</t>
  </si>
  <si>
    <t>(Ibogaine OR iboga):ti,ab,kw</t>
  </si>
  <si>
    <t>#11</t>
  </si>
  <si>
    <t>(salvinorin OR "salvia divinorum"):ti,ab,kw</t>
  </si>
  <si>
    <t>#12</t>
  </si>
  <si>
    <t>#1 OR #2 OR #3 OR #4 OR #5 OR #6 OR #7 OR #8 OR #9 OR #10 OR #11 in Trials</t>
  </si>
  <si>
    <t>PsycInfo via EBSCOhost</t>
  </si>
  <si>
    <t>#</t>
  </si>
  <si>
    <t>Limiters/Expanders</t>
  </si>
  <si>
    <t>S5</t>
  </si>
  <si>
    <t>S4</t>
  </si>
  <si>
    <t>Limiters - Exclude Dissertations</t>
  </si>
  <si>
    <t>S3 NOT ((DE "Animal Models" OR DE "Animals" OR DE "Animal Research" OR TI (animal model*)) NOT (DE "Human Males" OR DE "Human Females"))</t>
  </si>
  <si>
    <t>S3</t>
  </si>
  <si>
    <t>S1 AND S2</t>
  </si>
  <si>
    <t>S2</t>
  </si>
  <si>
    <t>DE "Placebo" OR DE "Randomized Clinical Trials" OR DE "Randomized Controlled Trials" OR DE "Experiment Controls" OR DE "Clinical Trials" OR MR "CLINICAL TRIAL" OR TI ("random*" OR "sham" OR "placebo*" OR "Nonrandom*" OR "non random*" OR "non-random*" OR "quasi-random*" OR "quasirandom*" OR "pragmatic study" OR "pragmatic studies") OR AB ("random*" OR "sham" OR "placebo*" OR "Nonrandom*" OR "non random*" OR "non-random*" OR "quasi-random*" OR "quasirandom*" OR "pragmatic study" OR "pragmatic studies") OR SU ("random*" OR "sham" OR "placebo*" OR "Nonrandom*" OR "non random*" OR "non-random*" OR "quasi-random*" OR "quasirandom*" OR "pragmatic study" OR "pragmatic studies") OR KW ("random*" OR "sham" OR "placebo*" OR "Nonrandom*" OR "non random*" OR "non-random*" OR "quasi-random*" OR "quasirandom*" OR "pragmatic study" OR "pragmatic studies") OR TI ((("singl*" OR "doubl*" OR "tripl*" OR "trebl*") W0 ("blind*" OR "dumm*" OR "mask*"))) OR AB ((("singl*" OR "doubl*" OR "tripl*" OR "trebl*") W0 ("blind*" OR "dumm*" OR "mask*"))) OR SU ((("singl*" OR "doubl*" OR "tripl*" OR "trebl*") W0 ("blind*" OR "dumm*" OR "mask*"))) OR KW ((("singl*" OR "doubl*" OR "tripl*" OR "trebl*") W0 ("blind*" OR "dumm*" OR "mask*"))) OR TI ((("clinical" OR "phase" OR "crossover" OR "cross-over" OR "multicent*" OR "multi-cent*" OR "equivalence" OR "superiority" OR "non-inferiority" OR "noninferiority" OR "quasiexperimental" OR "quasi-experimental") N2 ("study" OR "studies" OR "trial*"))) OR AB ((("clinical" OR "phase" OR "crossover" OR "cross-over" OR "multicent*" OR "multi-cent*" OR "equivalence" OR "superiority" OR "non-inferiority" OR "noninferiority" OR "quasiexperimental" OR "quasi-experimental") N2 ("study" OR "studies" OR "trial*"))) OR SU ((("clinical" OR "phase" OR "crossover" OR "cross-over" OR "multicent*" OR "multi-cent*" OR "equivalence" OR "superiority" OR "non-inferiority" OR "noninferiority" OR "quasiexperimental" OR "quasi-experimental") N2 ("study" OR "studies" OR "trial*"))) OR KW ((("clinical" OR "phase" OR "crossover" OR "cross-over" OR "multicent*" OR "multi-cent*" OR "equivalence" OR "superiority" OR "non-inferiority" OR "noninferiority" OR "quasiexperimental" OR "quasi-experimental") N2 ("study" OR "studies" OR "trial*"))) OR TI (( ("open label" OR "open-label") N4 ("study" OR "studies" OR "trial*") )) OR AB (( ("open label" OR "open-label") N4 ("study" OR "studies" OR "trial*") )) OR SU (( ("open label" OR "open-label") N4 ("study" OR "studies" OR "trial*") )) OR KW (( ("open label" OR "open-label") N4 ("study" OR "studies" OR "trial*") )) OR TI (("pragmatic" OR "practical") N2 ("trial*")) OR AB (("pragmatic" OR "practical") N2 ("trial*")) OR SU (("pragmatic" OR "practical") N2 ("trial*")) OR KW (("pragmatic" OR "practical") N2 ("trial*")) OR TI ("control*" N2 ("study" OR "studies" OR "trial*" OR "group*")) OR AB ("control*" N2 ("study" OR "studies" OR "trial*" OR "group*")) OR SU ("control*" N2 ("study" OR "studies" OR "trial*" OR "group*")) OR KW ("control*" N2 ("study" OR "studies" OR "trial*" OR "group*")) OR TI "allocated" OR AB "allocated" OR SU "allocated" OR TI ("trial") OR KW ("trial")</t>
  </si>
  <si>
    <t>S1</t>
  </si>
  <si>
    <t xml:space="preserve">MM "Psychedelic Drugs" OR MM "Bufotenine" OR MM "Ketamine" OR MM "Lysergic Acid Diethylamide" OR MM "Mescaline" OR MM "Methylenedioxymethamphetamine" OR MM "Peyote" OR MM "Psilocybin" OR DE "Psychedelic Assisted Therapy" OR DE "Drug Induced Hallucinations" OR TI ((hallucinogen* OR psychedel* OR psychomimet* OR entheo* OR entactogen*) N2 (agent* OR drug* OR compound* OR substance* OR therap* OR psychotherap* OR medic*)) OR AB ((hallucinogen* OR psychedel* OR psychomimet* OR entheo* OR entactogen*) N2 (agent* OR drug* OR compound* OR substance* OR therap* OR psychotherap* OR medic*)) OR TI ((LSD AND (psychedel* OR hallucinogen* OR entheo* OR trip*)) OR LSD-25 OR "lysergic acid diethylamide” OR delysid* OR lysergide OR lysergamide) OR AB ((LSD AND (psychedel* OR hallucinogen* OR entheo* OR trip*)) OR LSD-25 OR "lysergic acid diethylamide” OR delysid* OR lysergide OR lysergamide) OR TI (Psilocybin* OR 4-PO-DMT OR Psilocibin* OR comp360) OR AB (Psilocybin* OR 4-PO-DMT OR Psilocibin* OR comp360) OR TI (Psilocin* OR 4-HO-DMT OR "4 hydroxy n, n dimethyltryptamine" OR psilocyn*) OR AB (Psilocin* OR 4-HO-DMT OR "4 hydroxy n, n dimethyltryptamine" OR psilocyn*) OR TI (mescalin* OR 3,4,5-trimethoxyphenethylamine OR TMPEA OR Peyot*) OR AB (mescalin* OR 3,4,5-trimethoxyphenethylamine OR TMPEA OR Peyot*) OR TI ((DMT AND (psychedel* OR hallucinogen* OR entheo* OR trip* OR psychiat*)) OR N,N-Dimethyltryptamine OR dimethyltryptamine* OR "dimethyl tryptamine" OR N,N-DMT OR ayahuasca OR banisteriopsis) OR AB ((DMT AND (psychedel* OR hallucinogen* OR entheo* OR trip* OR psychiat*)) OR N,N-Dimethyltryptamine OR dimethyltryptamine* OR "dimethyl tryptamine" OR N,N-DMT OR ayahuasca OR banisteriopsis) OR TI (5-methoxy-N,N-dimethyltryptamine OR mebufotenin OR 5-MeO-DMT OR O-methyl-bufotenin OR "5 methoxy dmt" OR "5 methoxy n, n dimethyl tryptamine" OR "5 methoxydimethyltryptamine" OR "n, n dimethyl 5 methoxytryptamine") OR AB (5-methoxy-N,N-dimethyltryptamine OR mebufotenin OR 5-MeO-DMT OR O-methyl-bufotenin OR "5 methoxy dmt" OR "5 methoxy n, n dimethyl tryptamine" OR "5 methoxydimethyltryptamine" OR "n, n dimethyl 5 methoxytryptamine") OR TI (Methylenedioxymethamphetamine OR "3,4-Methylenedioxy methamphetamine" OR "methamphetamine, 3, 4 methylenedioxy" OR "n methyl 3, 4 methylenedioxyamphetamine" OR midomafetamine OR MDMA OR ecstasy) OR AB (Methylenedioxymethamphetamine OR "3,4-Methylenedioxy methamphetamine" OR "methamphetamine, 3, 4 methylenedioxy" OR "n methyl 3, 4 methylenedioxyamphetamine" OR midomafetamine OR MDMA OR ecstasy) OR TI ((Ketamin* OR esketamine) AND (psychedel* OR hallucinogen* OR entheo* OR trip* OR psychiat*)) OR AB ((Ketamin* OR esketamine) AND (psychedel* OR hallucinogen* OR entheo* OR trip* OR psychiat*)) OR TI (Ibogaine OR iboga) OR AB (Ibogaine OR iboga) OR TI (salvinorin OR "salvia divinorum") OR AB (salvinorin OR "salvia divinorum")
</t>
  </si>
  <si>
    <t>Web of Science Core Collection</t>
  </si>
  <si>
    <t>Search Query</t>
  </si>
  <si>
    <t xml:space="preserve">TS=((hallucinogen* OR psychedel* OR psychomimet* OR entheo* OR entactogen*) NEAR/2 (agent* OR drug* OR compound* OR substance* OR therap* OR psychotherap* OR medic*)) OR TS=((LSD AND (psychedel* OR hallucinogen* OR entheo* OR trip*)) OR LSD-25 OR "lysergic acid diethylamide” OR delysid* OR lysergide OR lysergamide) OR TS=(Psilocybin* OR 4-PO-DMT OR Psilocibin* OR comp360 OR "cy 39") OR TS=(Psilocin* OR 4-HO-DMT OR "4 hydroxy n, n dimethyltryptamine" OR psilocyn*) OR TS=(mescalin* OR 3,4,5-trimethoxyphenethylamine OR TMPEA OR Peyot*) OR TS=((DMT AND (psychedel* OR hallucinogen* OR entheo* OR trip* OR psychiat*)) OR N,N-Dimethyltryptamine OR dimethyltryptamine* OR "dimethyl tryptamine" OR N,N-DMT OR ayahuasca OR banisteriopsis) OR TS=(5-methoxy-N,N-dimethyltryptamine OR mebufotenin OR 5-MeO-DMT OR O-methyl-bufotenin OR "5 methoxy dmt" OR "5 methoxy n, n dimethyl tryptamine" OR "5 methoxydimethyltryptamine" OR "n, n dimethyl 5 methoxytryptamine") OR TS=(Methylenedioxymethamphetamine OR "3,4-Methylenedioxy methamphetamine" OR "methamphetamine, 3, 4 methylenedioxy" OR "n methyl 3, 4 methylenedioxyamphetamine" OR midomafetamine OR MDMA OR ecstasy) OR TS=((Ketamin* OR esketamine) AND (psychedel* OR hallucinogen* OR entheo* OR trip* OR psychiat*)) OR TS=(Ibogaine OR iboga) OR TS=(salvinorin OR "salvia divinorum")			</t>
  </si>
  <si>
    <t>22043</t>
  </si>
  <si>
    <t xml:space="preserve">TS=((random* or sham or placebo*)
OR ((singl* or doubl*) NEAR/1 (blind* or dumm* or mask*))
OR ((tripl* or trebl*) NEAR/1 (blind* or dumm* or mask*))
OR (control* NEAR/3 (study or studies or trial* or group*))
OR (clinical NEAR/3 (study or studies or trial*)) 
OR (Nonrandom* or "non random*" or non-random* or quasi-random* or quasirandom*)
OR (phase NEAR/3 (study or studies or trial*))
OR ((crossover or cross-over) NEAR/3 (study or studies or trial*))
OR ((multicent* or multi-cent*) NEAR/3 (study or studies or trial*))
OR allocated
OR (("open label" or open-label) NEAR/5 (study or studies or trial*))
OR ((equivalence or superiority or non-inferiority or noninferiority) NEAR/3 (study or studies or trial*))
OR ("pragmatic study" or "pragmatic studies")
OR ((pragmatic or practical) NEAR/3 trial*)
OR ((quasiexperimental or quasi-experimental) NEAR/3 (study or studies or trial*))
OR trial)			</t>
  </si>
  <si>
    <t>5087676</t>
  </si>
  <si>
    <t xml:space="preserve">#1 AND #2			</t>
  </si>
  <si>
    <t>2898</t>
  </si>
  <si>
    <t xml:space="preserve">#1 AND #2 and Meeting Abstract or Editorial Material  (Exclude – Document Types)			</t>
  </si>
  <si>
    <t>2793</t>
  </si>
  <si>
    <t>Scopus</t>
  </si>
  <si>
    <t>#4 AND ( EXCLUDE ( DOCTYPE , "ed" ) OR EXCLUDE ( DOCTYPE , "bk" ) )</t>
  </si>
  <si>
    <t>#3 AND NOT ((KEY(animal* OR nonhuman)) AND NOT (KEY(human*)))</t>
  </si>
  <si>
    <t xml:space="preserve">TITLE-ABS-KEY (random* OR sham OR placebo* ) OR TITLE-ABS-KEY ((singl* OR doubl* ) W/1 (blind* OR dumm* OR mask* )) OR TITLE-ABS-KEY ((tripl* OR trebl* ) W/1 (blind* OR dumm* OR mask* )) OR TITLE-ABS-KEY (control* W/3 (study OR studies OR trial* OR group* )) OR TITLE-ABS-KEY (clinical W/3 (study OR studies OR trial* )) OR TITLE-ABS-KEY (Nonrandom* OR "non random*" OR non-random* OR quasi-random* OR quasirandom* ) OR TITLE-ABS-KEY (phase W/3 (study OR studies OR trial* )) OR TITLE-ABS-KEY ((crossover OR cross-over ) W/3 (study OR studies OR trial* )) OR TITLE-ABS-KEY ((multicent* OR multi-cent* ) W/3 (study OR studies OR trial* )) OR TITLE-ABS (allocated) OR TITLE-ABS-KEY (("open label" OR open-label ) W/5 (study OR studies OR trial* )) OR TITLE-ABS-KEY ((equivalence OR superiority OR non-inferiority OR noninferiority ) W/3 (study OR studies OR trial* )) OR TITLE-ABS-KEY ("pragmatic study" OR "pragmatic studies" ) OR TITLE-ABS-KEY ((pragmatic OR practical ) W/3 trial* ) OR TITLE-ABS-KEY ((quasiexperimental OR quasi-experimental ) W/3 (study OR studies OR trial* )) OR TITLE (trial) OR KEY (trial)
</t>
  </si>
  <si>
    <t>TITLE-ABS((hallucinogen* OR psychedel* OR psychomimet* OR entheo* OR entactogen*) W/2 (agent* OR drug* OR compound* OR substance* OR therap* OR psychotherap* OR medic*))OR TITLE-ABS((LSD AND (psychedel* OR hallucinogen* OR entheo* OR trip*)) OR LSD-25 OR "lysergic acid diethylamide" OR delysid* OR lysergide OR lysergamide)OR TITLE-ABS(Psilocybin* OR 4-PO-DMT OR Psilocibin* OR comp360 OR "cy 39")OR TITLE-ABS(Psilocin* OR 4-HO-DMT OR "4 hydroxy n, n dimethyltryptamine" OR psilocyn*)OR TITLE-ABS(mescalin* OR 3,4,5-trimethoxyphenethylamine OR TMPEA OR Peyot*)OR TITLE-ABS((DMT AND (psychedel* OR hallucinogen* OR entheo* OR trip* OR psychiat*)) OR N,N-Dimethyltryptamine OR dimethyltryptamine* OR "dimethyl tryptamine" OR N,N-DMT OR ayahuasca OR banisteriopsis)OR TITLE-ABS(5-methoxy-N,N-dimethyltryptamine OR mebufotenin OR 5-MeO-DMT OR O-methyl-bufotenin OR "5 methoxy dmt" OR "5 methoxy n, n dimethyl tryptamine" OR "5 methoxydimethyltryptamine" OR "n, n dimethyl 5 methoxytryptamine")OR TITLE-ABS(Methylenedioxymethamphetamine OR "3,4-Methylenedioxy methamphetamine" OR "methamphetamine, 3, 4 methylenedioxy" OR "n methyl 3, 4 methylenedioxyamphetamine" OR midomafetamine OR MDMA OR ecstasy)OR TITLE-ABS((Ketamin* OR esketamine) AND (psychedel* OR hallucinogen* OR entheo* OR trip* OR psychiat*))OR TITLE-ABS(Ibogaine OR iboga)OR TITLE-ABS(salvinorin OR "salvia divinorum")</t>
  </si>
  <si>
    <t>Total</t>
  </si>
  <si>
    <t xml:space="preserve">Embase </t>
  </si>
  <si>
    <t>Medline</t>
  </si>
  <si>
    <t>WebOfScience</t>
  </si>
  <si>
    <t>Cochrane</t>
  </si>
  <si>
    <t>PsycInfo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</si>
</sst>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0"/>
      <name val="Calibri"/>
      <family val="2"/>
      <scheme val="minor"/>
    </font>
    <font>
      <b/>
      <sz val="11"/>
      <color theme="1"/>
      <name val="Calibri"/>
      <family val="2"/>
      <scheme val="minor"/>
    </font>
    <font>
      <b/>
      <sz val="12"/>
      <color theme="1"/>
      <name val="Calibri"/>
      <family val="2"/>
      <scheme val="minor"/>
    </font>
    <font>
      <sz val="8"/>
      <name val="Calibri"/>
      <family val="2"/>
      <scheme val="minor"/>
    </font>
  </fonts>
  <fills count="4">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s>
  <borders count="4">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s>
  <cellStyleXfs count="1">
    <xf numFmtId="0" fontId="0" fillId="0" borderId="0"/>
  </cellStyleXfs>
  <cellXfs count="26">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2" fillId="0" borderId="0" xfId="0" applyFont="1"/>
    <xf numFmtId="0" fontId="3" fillId="0" borderId="0" xfId="0" applyFont="1"/>
    <xf numFmtId="0" fontId="0" fillId="0" borderId="0" xfId="0" applyAlignment="1">
      <alignment wrapText="1"/>
    </xf>
    <xf numFmtId="0" fontId="0" fillId="3" borderId="3" xfId="0" applyFill="1" applyBorder="1"/>
    <xf numFmtId="0" fontId="0" fillId="0" borderId="3" xfId="0" applyBorder="1"/>
    <xf numFmtId="0" fontId="0" fillId="3" borderId="2" xfId="0" applyFill="1" applyBorder="1"/>
    <xf numFmtId="0" fontId="0" fillId="0" borderId="2" xfId="0" applyBorder="1"/>
    <xf numFmtId="0" fontId="0" fillId="3" borderId="2" xfId="0" applyFill="1" applyBorder="1" applyAlignment="1">
      <alignment wrapText="1"/>
    </xf>
    <xf numFmtId="0" fontId="0" fillId="0" borderId="2" xfId="0" applyBorder="1" applyAlignment="1">
      <alignment wrapText="1"/>
    </xf>
    <xf numFmtId="0" fontId="2" fillId="3" borderId="2" xfId="0" applyFont="1" applyFill="1" applyBorder="1"/>
    <xf numFmtId="0" fontId="1" fillId="2" borderId="1" xfId="0" applyFont="1" applyFill="1" applyBorder="1" applyAlignment="1">
      <alignment horizontal="center" vertical="center" wrapText="1"/>
    </xf>
    <xf numFmtId="0" fontId="0" fillId="3" borderId="1" xfId="0" applyFill="1" applyBorder="1" applyAlignment="1">
      <alignment horizontal="center" vertical="center"/>
    </xf>
    <xf numFmtId="0" fontId="0" fillId="0" borderId="1" xfId="0" applyBorder="1" applyAlignment="1">
      <alignment horizontal="center" vertical="center"/>
    </xf>
    <xf numFmtId="0" fontId="0" fillId="0" borderId="0" xfId="0" applyAlignment="1">
      <alignment horizontal="center" vertical="center"/>
    </xf>
    <xf numFmtId="0" fontId="2" fillId="3" borderId="3" xfId="0" applyFont="1" applyFill="1" applyBorder="1"/>
    <xf numFmtId="0" fontId="2" fillId="0" borderId="3" xfId="0" applyFont="1" applyBorder="1"/>
    <xf numFmtId="0" fontId="0" fillId="3" borderId="1" xfId="0" applyFill="1" applyBorder="1" applyAlignment="1">
      <alignment horizontal="center"/>
    </xf>
    <xf numFmtId="0" fontId="0" fillId="0" borderId="1" xfId="0" applyBorder="1" applyAlignment="1">
      <alignment horizontal="center"/>
    </xf>
    <xf numFmtId="0" fontId="1" fillId="2" borderId="1" xfId="0" applyFont="1" applyFill="1" applyBorder="1" applyAlignment="1">
      <alignment horizontal="center"/>
    </xf>
    <xf numFmtId="0" fontId="0" fillId="3" borderId="3" xfId="0" applyFill="1" applyBorder="1" applyAlignment="1">
      <alignment horizontal="right"/>
    </xf>
    <xf numFmtId="0" fontId="0" fillId="0" borderId="3" xfId="0" applyBorder="1" applyAlignment="1">
      <alignment horizontal="right"/>
    </xf>
    <xf numFmtId="0" fontId="2" fillId="0" borderId="3" xfId="0" applyFont="1" applyBorder="1" applyAlignment="1">
      <alignment horizontal="right"/>
    </xf>
  </cellXfs>
  <cellStyles count="1">
    <cellStyle name="Normal" xfId="0" builtinId="0"/>
  </cellStyles>
  <dxfs count="4">
    <dxf>
      <numFmt numFmtId="0" formatCode="General"/>
      <alignment horizontal="general" vertical="bottom" textRotation="0" wrapText="1" indent="0" justifyLastLine="0" shrinkToFit="0" readingOrder="0"/>
    </dxf>
    <dxf>
      <numFmt numFmtId="0" formatCode="General"/>
      <alignment horizontal="center" vertical="center" textRotation="0" wrapText="0" indent="0" justifyLastLine="0" shrinkToFit="0" readingOrder="0"/>
    </dxf>
    <dxf>
      <numFmt numFmtId="0" formatCode="General"/>
      <alignment horizontal="general" vertical="bottom" textRotation="0" wrapText="1" indent="0" justifyLastLine="0" shrinkToFit="0" readingOrder="0"/>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2.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eDaten_1" connectionId="3" xr16:uid="{489159A4-19C0-4DA4-BEF2-F06BEBF9926F}" autoFormatId="16" applyNumberFormats="0" applyBorderFormats="0" applyFontFormats="0" applyPatternFormats="0" applyAlignmentFormats="0" applyWidthHeightFormats="0">
  <queryTableRefresh nextId="5">
    <queryTableFields count="3">
      <queryTableField id="1" name="No." tableColumnId="1"/>
      <queryTableField id="2" name="Query" tableColumnId="2"/>
      <queryTableField id="3" name="Results" tableColumnId="3"/>
    </queryTableFields>
    <queryTableDeletedFields count="1">
      <deletedField name="Date"/>
    </queryTableDeleted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eDaten_1" connectionId="5" xr16:uid="{3E09A092-B420-42A4-B673-4C43602573F1}" autoFormatId="16" applyNumberFormats="0" applyBorderFormats="0" applyFontFormats="0" applyPatternFormats="0" applyAlignmentFormats="0" applyWidthHeightFormats="0">
  <queryTableRefresh nextId="5">
    <queryTableFields count="3">
      <queryTableField id="1" name="No." tableColumnId="1"/>
      <queryTableField id="2" name="Query" tableColumnId="2"/>
      <queryTableField id="3" name="Results" tableColumnId="3"/>
    </queryTableFields>
    <queryTableDeletedFields count="1">
      <deletedField name="Date"/>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E056A-1DF7-4C2A-96EB-60F8AD72E686}" name="queries3" displayName="queries3" ref="A4:C9" tableType="queryTable" totalsRowShown="0">
  <autoFilter ref="A4:C9" xr:uid="{E7FE056A-1DF7-4C2A-96EB-60F8AD72E686}"/>
  <tableColumns count="3">
    <tableColumn id="1" xr3:uid="{2CFA3BAE-9254-4F5F-905C-9012CB238B6D}" uniqueName="1" name="No." queryTableFieldId="1" dataDxfId="3"/>
    <tableColumn id="2" xr3:uid="{87577E86-5E0A-463A-BBAD-B3850231014A}" uniqueName="2" name="Query" queryTableFieldId="2" dataDxfId="2"/>
    <tableColumn id="3" xr3:uid="{8612E5FC-796C-4644-B803-C8AEC92539B9}" uniqueName="3" name="Results" queryTableFieldId="3"/>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92CD271-C05C-4F01-BE66-D179134BEB79}" name="queries36" displayName="queries36" ref="A4:C9" tableType="queryTable" totalsRowShown="0">
  <autoFilter ref="A4:C9" xr:uid="{492CD271-C05C-4F01-BE66-D179134BEB79}"/>
  <tableColumns count="3">
    <tableColumn id="1" xr3:uid="{E84358C3-8224-44A0-AFF8-FB647D82A212}" uniqueName="1" name="No." queryTableFieldId="1" dataDxfId="1"/>
    <tableColumn id="2" xr3:uid="{00997FF7-BA22-41D5-9009-2BB61B40695D}" uniqueName="2" name="Query" queryTableFieldId="2" dataDxfId="0"/>
    <tableColumn id="3" xr3:uid="{A84CAED2-37A4-416D-B331-93D356784300}" uniqueName="3" name="Results" queryTableFieldId="3"/>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9DFB9-FA1D-4543-9062-4FF76FA195CB}">
  <dimension ref="A1:C9"/>
  <sheetViews>
    <sheetView topLeftCell="A3" workbookViewId="0">
      <selection activeCell="C9" sqref="A4:C9"/>
    </sheetView>
  </sheetViews>
  <sheetFormatPr defaultColWidth="11.453125" defaultRowHeight="14.5" x14ac:dyDescent="0.35"/>
  <cols>
    <col min="2" max="2" width="93.453125" customWidth="1"/>
  </cols>
  <sheetData>
    <row r="1" spans="1:3" ht="15.5" x14ac:dyDescent="0.35">
      <c r="A1" s="5" t="s">
        <v>0</v>
      </c>
    </row>
    <row r="2" spans="1:3" ht="15.5" x14ac:dyDescent="0.35">
      <c r="A2" s="5" t="s">
        <v>1</v>
      </c>
    </row>
    <row r="4" spans="1:3" x14ac:dyDescent="0.35">
      <c r="A4" t="s">
        <v>2</v>
      </c>
      <c r="B4" t="s">
        <v>3</v>
      </c>
      <c r="C4" t="s">
        <v>4</v>
      </c>
    </row>
    <row r="5" spans="1:3" x14ac:dyDescent="0.35">
      <c r="A5" t="s">
        <v>5</v>
      </c>
      <c r="B5" s="6" t="s">
        <v>6</v>
      </c>
      <c r="C5" s="4">
        <v>5419</v>
      </c>
    </row>
    <row r="6" spans="1:3" ht="29" x14ac:dyDescent="0.35">
      <c r="A6" t="s">
        <v>7</v>
      </c>
      <c r="B6" s="6" t="s">
        <v>8</v>
      </c>
      <c r="C6">
        <v>6654</v>
      </c>
    </row>
    <row r="7" spans="1:3" x14ac:dyDescent="0.35">
      <c r="A7" t="s">
        <v>9</v>
      </c>
      <c r="B7" s="6" t="s">
        <v>10</v>
      </c>
      <c r="C7">
        <v>9728</v>
      </c>
    </row>
    <row r="8" spans="1:3" ht="203" x14ac:dyDescent="0.35">
      <c r="A8" t="s">
        <v>11</v>
      </c>
      <c r="B8" s="6" t="s">
        <v>12</v>
      </c>
      <c r="C8">
        <v>15071725</v>
      </c>
    </row>
    <row r="9" spans="1:3" ht="290" x14ac:dyDescent="0.35">
      <c r="A9" t="s">
        <v>13</v>
      </c>
      <c r="B9" s="6" t="s">
        <v>14</v>
      </c>
      <c r="C9">
        <v>26477</v>
      </c>
    </row>
  </sheetData>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35F8D1-74C5-493B-AA73-39D340E244A6}">
  <dimension ref="A1:C27"/>
  <sheetViews>
    <sheetView workbookViewId="0">
      <selection activeCell="E9" sqref="E9"/>
    </sheetView>
  </sheetViews>
  <sheetFormatPr defaultColWidth="11.453125" defaultRowHeight="14.5" x14ac:dyDescent="0.35"/>
  <cols>
    <col min="2" max="2" width="88.453125" customWidth="1"/>
    <col min="3" max="3" width="16.453125" customWidth="1"/>
  </cols>
  <sheetData>
    <row r="1" spans="1:3" ht="15.5" x14ac:dyDescent="0.35">
      <c r="A1" s="5" t="s">
        <v>15</v>
      </c>
    </row>
    <row r="2" spans="1:3" ht="15.5" x14ac:dyDescent="0.35">
      <c r="A2" s="5" t="s">
        <v>1</v>
      </c>
    </row>
    <row r="4" spans="1:3" ht="29" x14ac:dyDescent="0.35">
      <c r="A4" s="14" t="s">
        <v>16</v>
      </c>
      <c r="B4" s="2" t="s">
        <v>3</v>
      </c>
      <c r="C4" s="2" t="s">
        <v>4</v>
      </c>
    </row>
    <row r="5" spans="1:3" x14ac:dyDescent="0.35">
      <c r="A5" s="15">
        <v>5</v>
      </c>
      <c r="B5" s="11" t="s">
        <v>17</v>
      </c>
      <c r="C5" s="13">
        <v>3414</v>
      </c>
    </row>
    <row r="6" spans="1:3" ht="29" x14ac:dyDescent="0.35">
      <c r="A6" s="16">
        <v>4</v>
      </c>
      <c r="B6" s="12" t="s">
        <v>18</v>
      </c>
      <c r="C6" s="10">
        <v>3419</v>
      </c>
    </row>
    <row r="7" spans="1:3" x14ac:dyDescent="0.35">
      <c r="A7" s="15">
        <v>3</v>
      </c>
      <c r="B7" s="11" t="s">
        <v>10</v>
      </c>
      <c r="C7" s="9">
        <v>3826</v>
      </c>
    </row>
    <row r="8" spans="1:3" ht="391.5" x14ac:dyDescent="0.35">
      <c r="A8" s="16">
        <v>2</v>
      </c>
      <c r="B8" s="12" t="s">
        <v>19</v>
      </c>
      <c r="C8" s="10">
        <v>3976311</v>
      </c>
    </row>
    <row r="9" spans="1:3" ht="319" x14ac:dyDescent="0.35">
      <c r="A9" s="15">
        <v>1</v>
      </c>
      <c r="B9" s="11" t="s">
        <v>20</v>
      </c>
      <c r="C9" s="9">
        <v>23370</v>
      </c>
    </row>
    <row r="10" spans="1:3" x14ac:dyDescent="0.35">
      <c r="A10" s="17"/>
    </row>
    <row r="11" spans="1:3" x14ac:dyDescent="0.35">
      <c r="A11" s="17"/>
    </row>
    <row r="12" spans="1:3" x14ac:dyDescent="0.35">
      <c r="A12" s="17"/>
    </row>
    <row r="13" spans="1:3" x14ac:dyDescent="0.35">
      <c r="A13" s="17"/>
    </row>
    <row r="14" spans="1:3" x14ac:dyDescent="0.35">
      <c r="A14" s="17"/>
    </row>
    <row r="15" spans="1:3" x14ac:dyDescent="0.35">
      <c r="A15" s="17"/>
    </row>
    <row r="16" spans="1:3" x14ac:dyDescent="0.35">
      <c r="A16" s="17"/>
    </row>
    <row r="17" spans="1:1" x14ac:dyDescent="0.35">
      <c r="A17" s="17"/>
    </row>
    <row r="18" spans="1:1" x14ac:dyDescent="0.35">
      <c r="A18" s="17"/>
    </row>
    <row r="19" spans="1:1" x14ac:dyDescent="0.35">
      <c r="A19" s="17"/>
    </row>
    <row r="20" spans="1:1" x14ac:dyDescent="0.35">
      <c r="A20" s="17"/>
    </row>
    <row r="21" spans="1:1" x14ac:dyDescent="0.35">
      <c r="A21" s="17"/>
    </row>
    <row r="22" spans="1:1" x14ac:dyDescent="0.35">
      <c r="A22" s="17"/>
    </row>
    <row r="23" spans="1:1" x14ac:dyDescent="0.35">
      <c r="A23" s="17"/>
    </row>
    <row r="24" spans="1:1" x14ac:dyDescent="0.35">
      <c r="A24" s="17"/>
    </row>
    <row r="25" spans="1:1" x14ac:dyDescent="0.35">
      <c r="A25" s="17"/>
    </row>
    <row r="26" spans="1:1" x14ac:dyDescent="0.35">
      <c r="A26" s="17"/>
    </row>
    <row r="27" spans="1:1" x14ac:dyDescent="0.35">
      <c r="A27" s="17"/>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9BC116-0CC7-4F0F-809A-682D5867629C}">
  <dimension ref="A1:C16"/>
  <sheetViews>
    <sheetView workbookViewId="0">
      <selection activeCell="C16" sqref="A4:C16"/>
    </sheetView>
  </sheetViews>
  <sheetFormatPr defaultColWidth="11.453125" defaultRowHeight="14.5" x14ac:dyDescent="0.35"/>
  <cols>
    <col min="1" max="1" width="12.7265625" customWidth="1"/>
    <col min="2" max="2" width="80.453125" customWidth="1"/>
  </cols>
  <sheetData>
    <row r="1" spans="1:3" ht="15.5" x14ac:dyDescent="0.35">
      <c r="A1" s="5" t="s">
        <v>21</v>
      </c>
    </row>
    <row r="2" spans="1:3" ht="15.5" x14ac:dyDescent="0.35">
      <c r="A2" s="5" t="s">
        <v>1</v>
      </c>
    </row>
    <row r="4" spans="1:3" x14ac:dyDescent="0.35">
      <c r="A4" s="1" t="s">
        <v>22</v>
      </c>
      <c r="B4" s="2" t="s">
        <v>23</v>
      </c>
      <c r="C4" s="3" t="s">
        <v>24</v>
      </c>
    </row>
    <row r="5" spans="1:3" ht="43.5" x14ac:dyDescent="0.35">
      <c r="A5" s="20" t="s">
        <v>13</v>
      </c>
      <c r="B5" s="11" t="s">
        <v>25</v>
      </c>
      <c r="C5" s="7">
        <v>256</v>
      </c>
    </row>
    <row r="6" spans="1:3" ht="29" x14ac:dyDescent="0.35">
      <c r="A6" s="21" t="s">
        <v>11</v>
      </c>
      <c r="B6" s="12" t="s">
        <v>26</v>
      </c>
      <c r="C6" s="8">
        <v>275</v>
      </c>
    </row>
    <row r="7" spans="1:3" x14ac:dyDescent="0.35">
      <c r="A7" s="20" t="s">
        <v>9</v>
      </c>
      <c r="B7" s="11" t="s">
        <v>27</v>
      </c>
      <c r="C7" s="7">
        <v>327</v>
      </c>
    </row>
    <row r="8" spans="1:3" x14ac:dyDescent="0.35">
      <c r="A8" s="21" t="s">
        <v>7</v>
      </c>
      <c r="B8" s="12" t="s">
        <v>28</v>
      </c>
      <c r="C8" s="8">
        <v>22</v>
      </c>
    </row>
    <row r="9" spans="1:3" x14ac:dyDescent="0.35">
      <c r="A9" s="20" t="s">
        <v>5</v>
      </c>
      <c r="B9" s="11" t="s">
        <v>29</v>
      </c>
      <c r="C9" s="7">
        <v>23</v>
      </c>
    </row>
    <row r="10" spans="1:3" ht="43.5" x14ac:dyDescent="0.35">
      <c r="A10" s="21" t="s">
        <v>30</v>
      </c>
      <c r="B10" s="12" t="s">
        <v>31</v>
      </c>
      <c r="C10" s="8">
        <v>121</v>
      </c>
    </row>
    <row r="11" spans="1:3" ht="43.5" x14ac:dyDescent="0.35">
      <c r="A11" s="20" t="s">
        <v>32</v>
      </c>
      <c r="B11" s="11" t="s">
        <v>33</v>
      </c>
      <c r="C11" s="7">
        <v>6</v>
      </c>
    </row>
    <row r="12" spans="1:3" ht="43.5" x14ac:dyDescent="0.35">
      <c r="A12" s="21" t="s">
        <v>34</v>
      </c>
      <c r="B12" s="12" t="s">
        <v>35</v>
      </c>
      <c r="C12" s="8">
        <v>496</v>
      </c>
    </row>
    <row r="13" spans="1:3" ht="29" x14ac:dyDescent="0.35">
      <c r="A13" s="20" t="s">
        <v>36</v>
      </c>
      <c r="B13" s="11" t="s">
        <v>37</v>
      </c>
      <c r="C13" s="7">
        <v>612</v>
      </c>
    </row>
    <row r="14" spans="1:3" x14ac:dyDescent="0.35">
      <c r="A14" s="21" t="s">
        <v>38</v>
      </c>
      <c r="B14" s="12" t="s">
        <v>39</v>
      </c>
      <c r="C14" s="8">
        <v>12</v>
      </c>
    </row>
    <row r="15" spans="1:3" x14ac:dyDescent="0.35">
      <c r="A15" s="20" t="s">
        <v>40</v>
      </c>
      <c r="B15" s="11" t="s">
        <v>41</v>
      </c>
      <c r="C15" s="7">
        <v>15</v>
      </c>
    </row>
    <row r="16" spans="1:3" x14ac:dyDescent="0.35">
      <c r="A16" s="21" t="s">
        <v>42</v>
      </c>
      <c r="B16" s="12" t="s">
        <v>43</v>
      </c>
      <c r="C16" s="19">
        <v>1791</v>
      </c>
    </row>
  </sheetData>
  <phoneticPr fontId="4" type="noConversion"/>
  <pageMargins left="0.7" right="0.7" top="0.78740157499999996" bottom="0.78740157499999996"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D12CA8-E824-44E0-8CFD-D90DC8F8B730}">
  <dimension ref="A1:D9"/>
  <sheetViews>
    <sheetView zoomScaleNormal="100" workbookViewId="0">
      <selection activeCell="A4" sqref="A4:D9"/>
    </sheetView>
  </sheetViews>
  <sheetFormatPr defaultColWidth="11.453125" defaultRowHeight="14.5" x14ac:dyDescent="0.35"/>
  <cols>
    <col min="2" max="2" width="89.81640625" customWidth="1"/>
    <col min="4" max="4" width="29.453125" customWidth="1"/>
  </cols>
  <sheetData>
    <row r="1" spans="1:4" ht="15.5" x14ac:dyDescent="0.35">
      <c r="A1" s="5" t="s">
        <v>44</v>
      </c>
    </row>
    <row r="2" spans="1:4" ht="15.5" x14ac:dyDescent="0.35">
      <c r="A2" s="5" t="s">
        <v>1</v>
      </c>
    </row>
    <row r="4" spans="1:4" x14ac:dyDescent="0.35">
      <c r="A4" s="22" t="s">
        <v>45</v>
      </c>
      <c r="B4" s="2" t="s">
        <v>3</v>
      </c>
      <c r="C4" s="3" t="s">
        <v>4</v>
      </c>
      <c r="D4" s="3" t="s">
        <v>46</v>
      </c>
    </row>
    <row r="5" spans="1:4" x14ac:dyDescent="0.35">
      <c r="A5" s="20" t="s">
        <v>47</v>
      </c>
      <c r="B5" s="11" t="s">
        <v>48</v>
      </c>
      <c r="C5" s="18">
        <v>2133</v>
      </c>
      <c r="D5" s="7" t="s">
        <v>49</v>
      </c>
    </row>
    <row r="6" spans="1:4" ht="29" x14ac:dyDescent="0.35">
      <c r="A6" s="21" t="s">
        <v>48</v>
      </c>
      <c r="B6" s="12" t="s">
        <v>50</v>
      </c>
      <c r="C6" s="8">
        <v>2177</v>
      </c>
      <c r="D6" s="8"/>
    </row>
    <row r="7" spans="1:4" x14ac:dyDescent="0.35">
      <c r="A7" s="20" t="s">
        <v>51</v>
      </c>
      <c r="B7" s="11" t="s">
        <v>52</v>
      </c>
      <c r="C7" s="7">
        <v>2453</v>
      </c>
      <c r="D7" s="7"/>
    </row>
    <row r="8" spans="1:4" ht="409.5" x14ac:dyDescent="0.35">
      <c r="A8" s="21" t="s">
        <v>53</v>
      </c>
      <c r="B8" s="12" t="s">
        <v>54</v>
      </c>
      <c r="C8" s="8">
        <v>512691</v>
      </c>
      <c r="D8" s="8"/>
    </row>
    <row r="9" spans="1:4" ht="409.5" x14ac:dyDescent="0.35">
      <c r="A9" s="20" t="s">
        <v>55</v>
      </c>
      <c r="B9" s="11" t="s">
        <v>56</v>
      </c>
      <c r="C9" s="7">
        <v>11665</v>
      </c>
      <c r="D9" s="7"/>
    </row>
  </sheetData>
  <pageMargins left="0.7" right="0.7" top="0.78740157499999996" bottom="0.7874015749999999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34F53-73D5-462D-9F28-7BA4349562AE}">
  <dimension ref="A1:C8"/>
  <sheetViews>
    <sheetView workbookViewId="0">
      <selection activeCell="C5" sqref="C5:C8"/>
    </sheetView>
  </sheetViews>
  <sheetFormatPr defaultColWidth="11.453125" defaultRowHeight="14.5" x14ac:dyDescent="0.35"/>
  <cols>
    <col min="2" max="2" width="89.26953125" customWidth="1"/>
  </cols>
  <sheetData>
    <row r="1" spans="1:3" ht="15.5" x14ac:dyDescent="0.35">
      <c r="A1" s="5" t="s">
        <v>57</v>
      </c>
    </row>
    <row r="2" spans="1:3" ht="15.5" x14ac:dyDescent="0.35">
      <c r="A2" s="5" t="s">
        <v>1</v>
      </c>
    </row>
    <row r="4" spans="1:3" x14ac:dyDescent="0.35">
      <c r="A4" s="1" t="s">
        <v>2</v>
      </c>
      <c r="B4" s="2" t="s">
        <v>58</v>
      </c>
      <c r="C4" s="3" t="s">
        <v>4</v>
      </c>
    </row>
    <row r="5" spans="1:3" ht="217.5" x14ac:dyDescent="0.35">
      <c r="A5" s="20">
        <v>1</v>
      </c>
      <c r="B5" s="11" t="s">
        <v>59</v>
      </c>
      <c r="C5" s="23" t="s">
        <v>60</v>
      </c>
    </row>
    <row r="6" spans="1:3" ht="232" x14ac:dyDescent="0.35">
      <c r="A6" s="21">
        <v>2</v>
      </c>
      <c r="B6" s="12" t="s">
        <v>61</v>
      </c>
      <c r="C6" s="24" t="s">
        <v>62</v>
      </c>
    </row>
    <row r="7" spans="1:3" x14ac:dyDescent="0.35">
      <c r="A7" s="20">
        <v>3</v>
      </c>
      <c r="B7" s="11" t="s">
        <v>63</v>
      </c>
      <c r="C7" s="23" t="s">
        <v>64</v>
      </c>
    </row>
    <row r="8" spans="1:3" x14ac:dyDescent="0.35">
      <c r="A8" s="21">
        <v>4</v>
      </c>
      <c r="B8" s="12" t="s">
        <v>65</v>
      </c>
      <c r="C8" s="25" t="s">
        <v>66</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69458-1B1F-4989-A7A8-CFB2C0A92474}">
  <dimension ref="A1:C9"/>
  <sheetViews>
    <sheetView workbookViewId="0">
      <selection activeCell="A4" sqref="A4:C9"/>
    </sheetView>
  </sheetViews>
  <sheetFormatPr defaultColWidth="11.453125" defaultRowHeight="14.5" x14ac:dyDescent="0.35"/>
  <cols>
    <col min="2" max="2" width="83.54296875" customWidth="1"/>
  </cols>
  <sheetData>
    <row r="1" spans="1:3" ht="15.5" x14ac:dyDescent="0.35">
      <c r="A1" s="5" t="s">
        <v>67</v>
      </c>
    </row>
    <row r="2" spans="1:3" ht="15.5" x14ac:dyDescent="0.35">
      <c r="A2" s="5" t="s">
        <v>1</v>
      </c>
    </row>
    <row r="4" spans="1:3" x14ac:dyDescent="0.35">
      <c r="A4" t="s">
        <v>2</v>
      </c>
      <c r="B4" t="s">
        <v>3</v>
      </c>
      <c r="C4" t="s">
        <v>4</v>
      </c>
    </row>
    <row r="5" spans="1:3" x14ac:dyDescent="0.35">
      <c r="A5" s="17">
        <v>5</v>
      </c>
      <c r="B5" s="6" t="s">
        <v>68</v>
      </c>
      <c r="C5" s="4">
        <v>4599</v>
      </c>
    </row>
    <row r="6" spans="1:3" x14ac:dyDescent="0.35">
      <c r="A6" s="17">
        <v>4</v>
      </c>
      <c r="B6" s="6" t="s">
        <v>69</v>
      </c>
      <c r="C6">
        <v>4625</v>
      </c>
    </row>
    <row r="7" spans="1:3" x14ac:dyDescent="0.35">
      <c r="A7" s="17">
        <v>3</v>
      </c>
      <c r="B7" s="6" t="s">
        <v>10</v>
      </c>
      <c r="C7">
        <v>6966</v>
      </c>
    </row>
    <row r="8" spans="1:3" ht="203" x14ac:dyDescent="0.35">
      <c r="A8" s="17">
        <v>2</v>
      </c>
      <c r="B8" s="6" t="s">
        <v>70</v>
      </c>
      <c r="C8">
        <v>14033234</v>
      </c>
    </row>
    <row r="9" spans="1:3" ht="246.5" x14ac:dyDescent="0.35">
      <c r="A9" s="17">
        <v>1</v>
      </c>
      <c r="B9" s="6" t="s">
        <v>71</v>
      </c>
      <c r="C9">
        <v>19468</v>
      </c>
    </row>
  </sheetData>
  <pageMargins left="0.7" right="0.7" top="0.78740157499999996" bottom="0.78740157499999996"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61A14-247B-4FD8-AACA-31D0B7181685}">
  <dimension ref="A2:C8"/>
  <sheetViews>
    <sheetView tabSelected="1" workbookViewId="0">
      <selection activeCell="G7" sqref="G7"/>
    </sheetView>
  </sheetViews>
  <sheetFormatPr defaultRowHeight="14.5" x14ac:dyDescent="0.35"/>
  <cols>
    <col min="1" max="1" width="21.54296875" customWidth="1"/>
    <col min="2" max="2" width="0" hidden="1" customWidth="1"/>
  </cols>
  <sheetData>
    <row r="2" spans="1:3" x14ac:dyDescent="0.35">
      <c r="A2" t="s">
        <v>73</v>
      </c>
      <c r="B2">
        <f>Embase!C5</f>
        <v>5419</v>
      </c>
      <c r="C2">
        <f>Embase!C5</f>
        <v>5419</v>
      </c>
    </row>
    <row r="3" spans="1:3" x14ac:dyDescent="0.35">
      <c r="A3" t="s">
        <v>74</v>
      </c>
      <c r="B3">
        <f>'Medline PubMed'!C5</f>
        <v>3414</v>
      </c>
      <c r="C3">
        <f>'Medline PubMed'!C5</f>
        <v>3414</v>
      </c>
    </row>
    <row r="4" spans="1:3" x14ac:dyDescent="0.35">
      <c r="A4" t="s">
        <v>76</v>
      </c>
      <c r="C4">
        <f>Cochrane!C16</f>
        <v>1791</v>
      </c>
    </row>
    <row r="5" spans="1:3" x14ac:dyDescent="0.35">
      <c r="A5" t="s">
        <v>77</v>
      </c>
      <c r="C5">
        <f>PsycInfo!C5</f>
        <v>2133</v>
      </c>
    </row>
    <row r="6" spans="1:3" x14ac:dyDescent="0.35">
      <c r="A6" t="s">
        <v>75</v>
      </c>
      <c r="C6" t="str">
        <f>WebOfScience!C8</f>
        <v>2793</v>
      </c>
    </row>
    <row r="7" spans="1:3" x14ac:dyDescent="0.35">
      <c r="A7" t="s">
        <v>67</v>
      </c>
      <c r="C7">
        <f>Scopus!C5</f>
        <v>4599</v>
      </c>
    </row>
    <row r="8" spans="1:3" x14ac:dyDescent="0.35">
      <c r="A8" s="4" t="s">
        <v>72</v>
      </c>
      <c r="B8" s="4"/>
      <c r="C8" s="4">
        <f>SUM(C2:C7)</f>
        <v>17356</v>
      </c>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db60c75-b548-4689-aab4-91c8a78df57c">
      <Terms xmlns="http://schemas.microsoft.com/office/infopath/2007/PartnerControls"/>
    </lcf76f155ced4ddcb4097134ff3c332f>
  </documentManagement>
</p:properti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1E896E96ADE2A24C9FDFC275393BE580" ma:contentTypeVersion="14" ma:contentTypeDescription="Create a new document." ma:contentTypeScope="" ma:versionID="3e419e44ba9129ce59f9c2c95bda3d35">
  <xsd:schema xmlns:xsd="http://www.w3.org/2001/XMLSchema" xmlns:xs="http://www.w3.org/2001/XMLSchema" xmlns:p="http://schemas.microsoft.com/office/2006/metadata/properties" xmlns:ns2="9db60c75-b548-4689-aab4-91c8a78df57c" xmlns:ns3="421b3a9a-398b-4ad5-be87-fa0b865f56a4" targetNamespace="http://schemas.microsoft.com/office/2006/metadata/properties" ma:root="true" ma:fieldsID="304f20a59c0efb614f008b49c8169199" ns2:_="" ns3:_="">
    <xsd:import namespace="9db60c75-b548-4689-aab4-91c8a78df57c"/>
    <xsd:import namespace="421b3a9a-398b-4ad5-be87-fa0b865f56a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GenerationTime" minOccurs="0"/>
                <xsd:element ref="ns2:MediaServiceEventHashCode" minOccurs="0"/>
                <xsd:element ref="ns2:MediaServiceOCR" minOccurs="0"/>
                <xsd:element ref="ns2:lcf76f155ced4ddcb4097134ff3c332f" minOccurs="0"/>
                <xsd:element ref="ns3:SharedWithUsers" minOccurs="0"/>
                <xsd:element ref="ns3:SharedWithDetails" minOccurs="0"/>
                <xsd:element ref="ns2:MediaServiceDateTaken"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db60c75-b548-4689-aab4-91c8a78df5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7c938953-97e4-410d-a323-cf9a87d86f1a" ma:termSetId="09814cd3-568e-fe90-9814-8d621ff8fb84" ma:anchorId="fba54fb3-c3e1-fe81-a776-ca4b69148c4d" ma:open="true" ma:isKeyword="false">
      <xsd:complexType>
        <xsd:sequence>
          <xsd:element ref="pc:Terms" minOccurs="0" maxOccurs="1"/>
        </xsd:sequence>
      </xsd:complexType>
    </xsd:element>
    <xsd:element name="MediaServiceDateTaken" ma:index="20" nillable="true" ma:displayName="MediaServiceDateTaken" ma:hidden="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21b3a9a-398b-4ad5-be87-fa0b865f56a4"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48C8664-CA56-49B9-AACA-FC1867246C0C}">
  <ds:schemaRefs>
    <ds:schemaRef ds:uri="http://schemas.microsoft.com/sharepoint/v3/contenttype/forms"/>
  </ds:schemaRefs>
</ds:datastoreItem>
</file>

<file path=customXml/itemProps2.xml><?xml version="1.0" encoding="utf-8"?>
<ds:datastoreItem xmlns:ds="http://schemas.openxmlformats.org/officeDocument/2006/customXml" ds:itemID="{0A85F118-8027-4DD6-9295-D0171B459C11}">
  <ds:schemaRefs>
    <ds:schemaRef ds:uri="http://schemas.microsoft.com/office/2006/metadata/properties"/>
    <ds:schemaRef ds:uri="http://schemas.microsoft.com/office/infopath/2007/PartnerControls"/>
    <ds:schemaRef ds:uri="9db60c75-b548-4689-aab4-91c8a78df57c"/>
  </ds:schemaRefs>
</ds:datastoreItem>
</file>

<file path=customXml/itemProps3.xml><?xml version="1.0" encoding="utf-8"?>
<ds:datastoreItem xmlns:ds="http://schemas.openxmlformats.org/officeDocument/2006/customXml" ds:itemID="{E92BFDDC-9718-47D9-B7BC-117AB3DC7313}">
  <ds:schemaRefs>
    <ds:schemaRef ds:uri="http://schemas.microsoft.com/DataMashup"/>
  </ds:schemaRefs>
</ds:datastoreItem>
</file>

<file path=customXml/itemProps4.xml><?xml version="1.0" encoding="utf-8"?>
<ds:datastoreItem xmlns:ds="http://schemas.openxmlformats.org/officeDocument/2006/customXml" ds:itemID="{F59521E3-0E6D-454D-8104-31F7FB9276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db60c75-b548-4689-aab4-91c8a78df57c"/>
    <ds:schemaRef ds:uri="421b3a9a-398b-4ad5-be87-fa0b865f56a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Embase</vt:lpstr>
      <vt:lpstr>Medline PubMed</vt:lpstr>
      <vt:lpstr>Cochrane</vt:lpstr>
      <vt:lpstr>PsycInfo</vt:lpstr>
      <vt:lpstr>WebOfScience</vt:lpstr>
      <vt:lpstr>Scopus</vt:lpstr>
      <vt:lpstr>Total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Alisa Berger</dc:creator>
  <cp:keywords/>
  <dc:description/>
  <cp:lastModifiedBy>Bernhard, Vera Lara (DCR)</cp:lastModifiedBy>
  <cp:revision/>
  <dcterms:created xsi:type="dcterms:W3CDTF">2023-12-15T11:45:15Z</dcterms:created>
  <dcterms:modified xsi:type="dcterms:W3CDTF">2026-03-14T17:51:00Z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0x0101001E896E96ADE2A24C9FDFC275393BE580</vt:lpwstr>
  </property>
</Properties>
</file>